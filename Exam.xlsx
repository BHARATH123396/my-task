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c819ae6df650a6a3/Documents/"/>
    </mc:Choice>
  </mc:AlternateContent>
  <xr:revisionPtr revIDLastSave="0" documentId="8_{D45A0A41-F4D6-5749-B6BD-D61389DF7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FCE2AD5D-F65C-4FA6-A056-5C36A1767C68}">
      <x15:dataModel>
        <x15:modelTables>
          <x15:modelTable id="Table001  Page 1_e2e0001c-2ea8-40c8-a3af-6614be92cd65" name="Table001  Page 1" connection="Query - Table001 (Page 1)"/>
          <x15:modelTable id="Page001_ff45fba8-9579-4fc8-80e6-ec1684049dee" name="Page001" connection="Query - Page001"/>
          <x15:modelTable id="Page002_22d244f6-cb11-4d28-8ee7-8a57d8127236" name="Page002" connection="Query - Page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5" i="1"/>
  <c r="F17" i="1"/>
  <c r="G3" i="1"/>
  <c r="G4" i="1"/>
  <c r="G5" i="1"/>
  <c r="G6" i="1"/>
  <c r="G7" i="1"/>
  <c r="G8" i="1"/>
  <c r="G9" i="1"/>
  <c r="G10" i="1"/>
  <c r="G11" i="1"/>
  <c r="G2" i="1"/>
  <c r="F16" i="1"/>
  <c r="F13" i="1"/>
  <c r="K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6011ce7b-2808-4f0c-ab60-847ef5f33a6d"/>
      </ext>
    </extLst>
  </connection>
  <connection id="2" xr16:uid="{00000000-0015-0000-FFFF-FFFF01000000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5ed7aca8-4256-4f58-ad59-826d9d5ae584"/>
      </ext>
    </extLst>
  </connection>
  <connection id="3" xr16:uid="{00000000-0015-0000-FFFF-FFFF02000000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9baa946e-f63d-4c9e-b2c6-c292874535e9"/>
      </ext>
    </extLst>
  </connection>
  <connection id="4" xr16:uid="{00000000-0015-0000-FFFF-FFFF03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<sst xmlns="http://schemas.openxmlformats.org/spreadsheetml/2006/main" count="49" uniqueCount="37">
  <si>
    <t>Student_ID</t>
  </si>
  <si>
    <t>Name</t>
  </si>
  <si>
    <t>Subject</t>
  </si>
  <si>
    <t>Marks</t>
  </si>
  <si>
    <t>Study_Hours</t>
  </si>
  <si>
    <t>Math</t>
  </si>
  <si>
    <t>Science</t>
  </si>
  <si>
    <t>English</t>
  </si>
  <si>
    <t xml:space="preserve"> </t>
  </si>
  <si>
    <t xml:space="preserve">  </t>
  </si>
  <si>
    <t>Attendance</t>
  </si>
  <si>
    <t>Asha</t>
  </si>
  <si>
    <t>Ravi</t>
  </si>
  <si>
    <t>Kiran</t>
  </si>
  <si>
    <t>Meena</t>
  </si>
  <si>
    <t>John</t>
  </si>
  <si>
    <t>Sara</t>
  </si>
  <si>
    <t>Arjun</t>
  </si>
  <si>
    <t>Divya</t>
  </si>
  <si>
    <t>Rahul</t>
  </si>
  <si>
    <t>Sneha</t>
  </si>
  <si>
    <t>No of students</t>
  </si>
  <si>
    <t>Max</t>
  </si>
  <si>
    <t>Student Performance</t>
  </si>
  <si>
    <t>4 How many students have attedance &gt;=80%</t>
  </si>
  <si>
    <t>Questions</t>
  </si>
  <si>
    <t>1 Calculate the total no of students</t>
  </si>
  <si>
    <t>2 Find the Total marks scored by the students in Math</t>
  </si>
  <si>
    <t>3 Identify the student who scored max marks</t>
  </si>
  <si>
    <t>5 Use IF to assign the grade to the students</t>
  </si>
  <si>
    <t>&gt;=90---Excellent</t>
  </si>
  <si>
    <t>&gt;=70--Good</t>
  </si>
  <si>
    <t>&gt;=50--Better</t>
  </si>
  <si>
    <t>&lt;35--Fail</t>
  </si>
  <si>
    <t>6 Find the student who studied more no of hou</t>
  </si>
  <si>
    <t>Msth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</si>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</sst>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2" borderId="0" xfId="0" applyFont="1" applyFill="1"/>
    <xf numFmtId="9" fontId="0" fillId="0" borderId="0" xfId="0" applyNumberFormat="1"/>
    <xf numFmtId="9" fontId="1" fillId="2" borderId="0" xfId="0" applyNumberFormat="1" applyFont="1" applyFill="1"/>
    <xf numFmtId="0" fontId="0" fillId="0" borderId="1" xfId="0" applyBorder="1"/>
    <xf numFmtId="0" fontId="0" fillId="3" borderId="1" xfId="0" applyFill="1" applyBorder="1"/>
    <xf numFmtId="0" fontId="0" fillId="0" borderId="0" xfId="0" applyNumberFormat="1" applyBorder="1"/>
    <xf numFmtId="0" fontId="0" fillId="3" borderId="0" xfId="0" applyNumberFormat="1" applyFill="1" applyBorder="1"/>
    <xf numFmtId="0" fontId="0" fillId="0" borderId="2" xfId="0" applyNumberFormat="1" applyBorder="1"/>
    <xf numFmtId="0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connections" Target="connections.xml" /><Relationship Id="rId7" Type="http://schemas.openxmlformats.org/officeDocument/2006/relationships/calcChain" Target="calcChain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powerPivotData" Target="model/item.data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EF3F-40D2-7E49-9CA4-392338EE7FDE}">
  <dimension ref="A1:L26"/>
  <sheetViews>
    <sheetView tabSelected="1" topLeftCell="H1" zoomScaleNormal="60" zoomScaleSheetLayoutView="100" workbookViewId="0">
      <selection activeCell="M7" sqref="M7"/>
    </sheetView>
  </sheetViews>
  <sheetFormatPr defaultRowHeight="15" x14ac:dyDescent="0.2"/>
  <cols>
    <col min="1" max="1" width="9.4140625" customWidth="1"/>
    <col min="2" max="2" width="9.68359375" bestFit="1" customWidth="1"/>
    <col min="3" max="4" width="10.4921875" customWidth="1"/>
    <col min="5" max="5" width="13.71875" customWidth="1"/>
    <col min="6" max="6" width="11.02734375" bestFit="1" customWidth="1"/>
    <col min="7" max="7" width="26.23046875" customWidth="1"/>
    <col min="8" max="8" width="8.875" customWidth="1"/>
    <col min="9" max="9" width="11.02734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4</v>
      </c>
      <c r="G1" s="4" t="s">
        <v>23</v>
      </c>
    </row>
    <row r="2" spans="1:12" x14ac:dyDescent="0.2">
      <c r="A2">
        <v>101</v>
      </c>
      <c r="B2" t="s">
        <v>11</v>
      </c>
      <c r="C2" s="1" t="s">
        <v>5</v>
      </c>
      <c r="D2">
        <v>85</v>
      </c>
      <c r="E2">
        <v>92</v>
      </c>
      <c r="F2">
        <v>2</v>
      </c>
      <c r="G2" t="str">
        <f>IF(E2&gt;90,"Excellent",IF(E2&gt;=70,"Good",IF(E2&gt;=35,"Pass","Fail")))</f>
        <v>Excellent</v>
      </c>
      <c r="H2" s="7"/>
      <c r="I2" s="7"/>
      <c r="J2" s="9"/>
      <c r="K2" s="5"/>
    </row>
    <row r="3" spans="1:12" x14ac:dyDescent="0.2">
      <c r="A3">
        <v>102</v>
      </c>
      <c r="B3" t="s">
        <v>12</v>
      </c>
      <c r="C3" s="1" t="s">
        <v>6</v>
      </c>
      <c r="D3">
        <v>78</v>
      </c>
      <c r="E3">
        <v>90</v>
      </c>
      <c r="F3">
        <v>1.5</v>
      </c>
      <c r="G3" t="str">
        <f>IF(E3&gt;90,"Excellent",IF(E3&gt;=70,"Good",IF(E3&gt;=35,"Pass","Fail")))</f>
        <v>Good</v>
      </c>
      <c r="H3" s="7"/>
      <c r="I3" s="8"/>
      <c r="J3" s="10" t="s">
        <v>2</v>
      </c>
      <c r="K3" s="6" t="s">
        <v>3</v>
      </c>
    </row>
    <row r="4" spans="1:12" x14ac:dyDescent="0.2">
      <c r="A4">
        <v>103</v>
      </c>
      <c r="B4" t="s">
        <v>13</v>
      </c>
      <c r="C4" s="1" t="s">
        <v>5</v>
      </c>
      <c r="D4">
        <v>92</v>
      </c>
      <c r="E4">
        <v>90</v>
      </c>
      <c r="F4">
        <v>3</v>
      </c>
      <c r="G4" t="str">
        <f>IF(E4&gt;90,"Excellent",IF(E4&gt;=70,"Good",IF(E4&gt;=35,"Pass","Fail")))</f>
        <v>Good</v>
      </c>
      <c r="H4" s="7"/>
      <c r="I4" s="7"/>
      <c r="J4" s="9" t="s">
        <v>35</v>
      </c>
      <c r="K4" s="5">
        <f>SUMIF(C2:C11,J4,D2:D11)</f>
        <v>0</v>
      </c>
    </row>
    <row r="5" spans="1:12" x14ac:dyDescent="0.2">
      <c r="A5">
        <v>104</v>
      </c>
      <c r="B5" t="s">
        <v>14</v>
      </c>
      <c r="C5" s="1" t="s">
        <v>7</v>
      </c>
      <c r="D5">
        <v>67</v>
      </c>
      <c r="E5">
        <v>51</v>
      </c>
      <c r="F5">
        <v>1</v>
      </c>
      <c r="G5" t="str">
        <f>IF(E5&gt;90,"Excellent",IF(E5&gt;=70,"Good",IF(E5&gt;=35,"Pass","Fail")))</f>
        <v>Pass</v>
      </c>
      <c r="H5" s="1"/>
      <c r="I5" s="1"/>
      <c r="J5" s="1"/>
    </row>
    <row r="6" spans="1:12" x14ac:dyDescent="0.2">
      <c r="A6">
        <v>105</v>
      </c>
      <c r="B6" t="s">
        <v>15</v>
      </c>
      <c r="C6" s="1" t="s">
        <v>6</v>
      </c>
      <c r="D6">
        <v>88</v>
      </c>
      <c r="E6">
        <v>35</v>
      </c>
      <c r="F6">
        <v>2.5</v>
      </c>
      <c r="G6" t="str">
        <f>IF(E6&gt;90,"Excellent",IF(E6&gt;=70,"Good",IF(E6&gt;=35,"Pass","Fail")))</f>
        <v>Pass</v>
      </c>
      <c r="H6" s="1"/>
      <c r="I6" s="1"/>
      <c r="J6" s="1"/>
      <c r="K6" s="3"/>
    </row>
    <row r="7" spans="1:12" x14ac:dyDescent="0.2">
      <c r="A7">
        <v>106</v>
      </c>
      <c r="B7" t="s">
        <v>16</v>
      </c>
      <c r="C7" s="1" t="s">
        <v>5</v>
      </c>
      <c r="D7">
        <v>73</v>
      </c>
      <c r="E7">
        <v>34</v>
      </c>
      <c r="F7">
        <v>1.2</v>
      </c>
      <c r="G7" t="str">
        <f>IF(E7&gt;90,"Excellent",IF(E7&gt;=70,"Good",IF(E7&gt;=35,"Pass","Fail")))</f>
        <v>Fail</v>
      </c>
      <c r="H7" s="1"/>
      <c r="I7" s="1"/>
      <c r="J7" s="1"/>
      <c r="K7" s="3"/>
    </row>
    <row r="8" spans="1:12" x14ac:dyDescent="0.2">
      <c r="A8">
        <v>107</v>
      </c>
      <c r="B8" t="s">
        <v>17</v>
      </c>
      <c r="C8" s="1" t="s">
        <v>7</v>
      </c>
      <c r="D8">
        <v>81</v>
      </c>
      <c r="E8">
        <v>30</v>
      </c>
      <c r="F8">
        <v>2</v>
      </c>
      <c r="G8" t="str">
        <f>IF(E8&gt;90,"Excellent",IF(E8&gt;=70,"Good",IF(E8&gt;=35,"Pass","Fail")))</f>
        <v>Fail</v>
      </c>
      <c r="H8" s="1"/>
      <c r="I8" s="1"/>
      <c r="J8" s="1"/>
    </row>
    <row r="9" spans="1:12" x14ac:dyDescent="0.2">
      <c r="A9">
        <v>108</v>
      </c>
      <c r="B9" t="s">
        <v>18</v>
      </c>
      <c r="C9" s="1" t="s">
        <v>6</v>
      </c>
      <c r="D9">
        <v>90</v>
      </c>
      <c r="E9">
        <v>55</v>
      </c>
      <c r="F9">
        <v>3.5</v>
      </c>
      <c r="G9" t="str">
        <f>IF(E9&gt;90,"Excellent",IF(E9&gt;=70,"Good",IF(E9&gt;=35,"Pass","Fail")))</f>
        <v>Pass</v>
      </c>
      <c r="H9" s="1"/>
      <c r="I9" s="1"/>
      <c r="J9" s="1"/>
    </row>
    <row r="10" spans="1:12" x14ac:dyDescent="0.2">
      <c r="A10">
        <v>109</v>
      </c>
      <c r="B10" t="s">
        <v>19</v>
      </c>
      <c r="C10" s="1" t="s">
        <v>5</v>
      </c>
      <c r="D10">
        <v>76</v>
      </c>
      <c r="E10">
        <v>88</v>
      </c>
      <c r="F10">
        <v>1.8</v>
      </c>
      <c r="G10" t="str">
        <f>IF(E10&gt;90,"Excellent",IF(E10&gt;=70,"Good",IF(E10&gt;=35,"Pass","Fail")))</f>
        <v>Good</v>
      </c>
      <c r="H10" s="1"/>
      <c r="I10" s="1"/>
      <c r="J10" s="1"/>
    </row>
    <row r="11" spans="1:12" x14ac:dyDescent="0.2">
      <c r="A11">
        <v>110</v>
      </c>
      <c r="B11" t="s">
        <v>20</v>
      </c>
      <c r="C11" s="1" t="s">
        <v>7</v>
      </c>
      <c r="D11">
        <v>84</v>
      </c>
      <c r="E11">
        <v>89</v>
      </c>
      <c r="F11">
        <v>2.2000000000000002</v>
      </c>
      <c r="G11" t="str">
        <f>IF(E11&gt;90,"Excellent",IF(E11&gt;=70,"Good",IF(E11&gt;=35,"Pass","Fail")))</f>
        <v>Good</v>
      </c>
      <c r="H11" s="1"/>
      <c r="I11" s="1"/>
      <c r="J11" s="1"/>
    </row>
    <row r="12" spans="1:12" x14ac:dyDescent="0.2">
      <c r="A12" s="1"/>
      <c r="B12" s="1"/>
    </row>
    <row r="13" spans="1:12" x14ac:dyDescent="0.2">
      <c r="A13" s="1">
        <v>1</v>
      </c>
      <c r="B13" s="1" t="s">
        <v>21</v>
      </c>
      <c r="F13">
        <f>COUNTA(B2:B11)</f>
        <v>10</v>
      </c>
    </row>
    <row r="14" spans="1:12" x14ac:dyDescent="0.2">
      <c r="A14" s="1">
        <v>2</v>
      </c>
      <c r="B14" s="1" t="s">
        <v>5</v>
      </c>
      <c r="F14">
        <f>SUMIF(C2:C11,"math",D2:D11)</f>
        <v>326</v>
      </c>
    </row>
    <row r="15" spans="1:12" x14ac:dyDescent="0.2">
      <c r="A15">
        <v>3</v>
      </c>
      <c r="B15" t="s">
        <v>22</v>
      </c>
      <c r="F15">
        <f>MAX(D2:D11)</f>
        <v>92</v>
      </c>
      <c r="L15" t="s">
        <v>9</v>
      </c>
    </row>
    <row r="16" spans="1:12" x14ac:dyDescent="0.2">
      <c r="A16">
        <v>4</v>
      </c>
      <c r="B16" t="s">
        <v>36</v>
      </c>
      <c r="F16">
        <f>COUNTIF(E2:E10,"&gt;=80")</f>
        <v>4</v>
      </c>
      <c r="I16" s="1"/>
      <c r="L16" t="s">
        <v>25</v>
      </c>
    </row>
    <row r="17" spans="1:12" x14ac:dyDescent="0.2">
      <c r="A17">
        <v>6</v>
      </c>
      <c r="B17" t="s">
        <v>36</v>
      </c>
      <c r="F17" t="str">
        <f>INDEX(B2:B11,MATCH(MAX(F2:F11),F2:F11,0))</f>
        <v>Divya</v>
      </c>
      <c r="I17" s="1"/>
      <c r="L17" t="s">
        <v>26</v>
      </c>
    </row>
    <row r="18" spans="1:12" x14ac:dyDescent="0.2">
      <c r="F18" t="s">
        <v>9</v>
      </c>
      <c r="I18" s="1"/>
      <c r="L18" t="s">
        <v>27</v>
      </c>
    </row>
    <row r="19" spans="1:12" x14ac:dyDescent="0.2">
      <c r="I19" s="1"/>
      <c r="L19" t="s">
        <v>28</v>
      </c>
    </row>
    <row r="20" spans="1:12" x14ac:dyDescent="0.2">
      <c r="I20" s="1"/>
      <c r="L20" t="s">
        <v>24</v>
      </c>
    </row>
    <row r="21" spans="1:12" x14ac:dyDescent="0.2">
      <c r="I21" s="1"/>
      <c r="L21" t="s">
        <v>29</v>
      </c>
    </row>
    <row r="22" spans="1:12" x14ac:dyDescent="0.2">
      <c r="I22" s="1"/>
      <c r="L22" t="s">
        <v>30</v>
      </c>
    </row>
    <row r="23" spans="1:12" x14ac:dyDescent="0.2">
      <c r="I23" s="1"/>
      <c r="K23" t="s">
        <v>8</v>
      </c>
      <c r="L23" t="s">
        <v>31</v>
      </c>
    </row>
    <row r="24" spans="1:12" x14ac:dyDescent="0.2">
      <c r="I24" s="1"/>
      <c r="L24" t="s">
        <v>32</v>
      </c>
    </row>
    <row r="25" spans="1:12" x14ac:dyDescent="0.2">
      <c r="I25" s="1"/>
      <c r="L25" t="s">
        <v>33</v>
      </c>
    </row>
    <row r="26" spans="1:12" x14ac:dyDescent="0.2">
      <c r="I26" s="1"/>
      <c r="L26" t="s">
        <v>34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29A2E41A-7DE5-4E93-AB53-2513EFA24E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Reddy</dc:creator>
  <cp:lastModifiedBy>Bharath Reddy</cp:lastModifiedBy>
  <dcterms:created xsi:type="dcterms:W3CDTF">2026-05-04T09:43:30Z</dcterms:created>
  <dcterms:modified xsi:type="dcterms:W3CDTF">2026-05-07T03:08:19Z</dcterms:modified>
</cp:coreProperties>
</file>