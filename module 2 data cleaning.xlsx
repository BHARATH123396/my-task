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19AE6DF650A6A3/Documents/"/>
    </mc:Choice>
  </mc:AlternateContent>
  <xr:revisionPtr revIDLastSave="0" documentId="8_{53DC619A-BEF7-2D4B-ACF4-6490E98DE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B19" i="1"/>
  <c r="I19" i="1"/>
  <c r="D7" i="1"/>
  <c r="C43" i="1"/>
  <c r="C40" i="1"/>
  <c r="C42" i="1"/>
</calcChain>
</file>

<file path=xl/sharedStrings.xml><?xml version="1.0" encoding="utf-8"?>
<sst xmlns="http://schemas.openxmlformats.org/spreadsheetml/2006/main" count="156" uniqueCount="122">
  <si>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</si>
  <si>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</si>
  <si>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</si>
  <si>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</si>
  <si>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</si>
  <si>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</si>
  <si>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</si>
  <si>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</si>
  <si>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</si>
  <si>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</si>
  <si>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</si>
  <si>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</si>
  <si>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</si>
  <si>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</si>
  <si>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</si>
  <si>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</si>
  <si>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</si>
  <si>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</si>
  <si>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</si>
  <si>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</si>
  <si>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</si>
  <si>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</si>
  <si>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</si>
  <si>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</si>
  <si>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</si>
  <si>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</si>
  <si>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</si>
  <si>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</si>
  <si>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</si>
  <si>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</si>
  <si>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</si>
  <si>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</si>
  <si>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</si>
  <si>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</si>
  <si>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</si>
  <si>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</si>
  <si>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</si>
  <si>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</si>
  <si>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</si>
  <si>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</si>
  <si>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</si>
  <si>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</si>
  <si>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</si>
  <si>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</si>
  <si>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</si>
  <si>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</si>
  <si>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</si>
  <si>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</si>
  <si>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</si>
  <si>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</si>
  <si>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</si>
  <si>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</si>
  <si>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</si>
  <si>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</si>
  <si>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</si>
  <si>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</si>
  <si>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</si>
  <si>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</si>
  <si>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</si>
  <si>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</si>
  <si>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</si>
  <si>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</si>
  <si>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</si>
  <si>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</si>
  <si>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</si>
  <si>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</si>
  <si>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</si>
  <si>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</si>
  <si>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</si>
  <si>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</si>
  <si>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</si>
  <si>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</si>
  <si>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</si>
  <si>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</si>
  <si>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</si>
  <si>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</si>
  <si>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</si>
  <si>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</si>
  <si>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</si>
  <si>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</si>
  <si>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</si>
  <si>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</si>
  <si>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</si>
  <si>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</si>
  <si>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</si>
  <si>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</si>
  <si>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</si>
  <si>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</si>
  <si>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</si>
  <si>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</si>
  <si>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</si>
  <si>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</si>
  <si>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</si>
  <si>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</si>
  <si>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</si>
  <si>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</si>
  <si>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</si>
  <si>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</si>
  <si>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</si>
  <si>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</si>
  <si>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</si>
  <si>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</si>
  <si>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</si>
  <si>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</t>
  </si>
  <si>
    <t>• Format the "Manufacturing Date" column to display dates in the "DD-MM-YYYY " format.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</si>
  <si>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</si>
  <si>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</si>
  <si>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</si>
  <si>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Manufacturing Date</t>
  </si>
  <si>
    <t>coutry code</t>
  </si>
  <si>
    <t>Product Brand</t>
  </si>
  <si>
    <t>Product Id</t>
  </si>
  <si>
    <t>KPL</t>
  </si>
  <si>
    <t>Total count</t>
  </si>
  <si>
    <t>Duplicate Removed</t>
  </si>
  <si>
    <t>Missing price</t>
  </si>
  <si>
    <t>Missing Filled</t>
  </si>
  <si>
    <t>Median Price</t>
  </si>
  <si>
    <t>Averagw Price</t>
  </si>
  <si>
    <t>Highest Price</t>
  </si>
  <si>
    <t>Lowest Price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</si>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</sst>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18"/>
    </font>
    <font>
      <sz val="10"/>
      <color theme="1"/>
      <name val="Arial"/>
      <family val="18"/>
    </font>
    <font>
      <b/>
      <sz val="12"/>
      <color theme="1"/>
      <name val="Times New Roman"/>
      <family val="34"/>
    </font>
    <font>
      <sz val="12"/>
      <color theme="1"/>
      <name val="Times New Roman"/>
      <family val="34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164" fontId="2" fillId="0" borderId="1" xfId="0" applyNumberFormat="1" applyFont="1" applyBorder="1" applyAlignment="1">
      <alignment wrapText="1" readingOrder="1"/>
    </xf>
    <xf numFmtId="164" fontId="2" fillId="3" borderId="1" xfId="0" applyNumberFormat="1" applyFont="1" applyFill="1" applyBorder="1" applyAlignment="1">
      <alignment wrapText="1" readingOrder="1"/>
    </xf>
    <xf numFmtId="164" fontId="0" fillId="0" borderId="0" xfId="0" applyNumberFormat="1"/>
    <xf numFmtId="0" fontId="2" fillId="0" borderId="3" xfId="0" applyFont="1" applyBorder="1" applyAlignment="1">
      <alignment wrapText="1" readingOrder="1"/>
    </xf>
    <xf numFmtId="0" fontId="2" fillId="3" borderId="3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0" fillId="0" borderId="0" xfId="0" applyBorder="1"/>
    <xf numFmtId="0" fontId="2" fillId="0" borderId="0" xfId="0" applyFont="1" applyBorder="1" applyAlignment="1">
      <alignment wrapText="1" readingOrder="1"/>
    </xf>
    <xf numFmtId="164" fontId="2" fillId="0" borderId="0" xfId="0" applyNumberFormat="1" applyFont="1" applyBorder="1" applyAlignment="1">
      <alignment wrapText="1" readingOrder="1"/>
    </xf>
    <xf numFmtId="0" fontId="3" fillId="0" borderId="0" xfId="0" applyFont="1" applyBorder="1" applyAlignment="1">
      <alignment wrapText="1" readingOrder="1"/>
    </xf>
    <xf numFmtId="164" fontId="4" fillId="0" borderId="0" xfId="0" applyNumberFormat="1" applyFont="1" applyBorder="1" applyAlignment="1">
      <alignment wrapText="1" readingOrder="1"/>
    </xf>
    <xf numFmtId="164" fontId="0" fillId="0" borderId="0" xfId="0" applyNumberFormat="1" applyBorder="1"/>
    <xf numFmtId="0" fontId="5" fillId="0" borderId="0" xfId="1" applyBorder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3" borderId="0" xfId="0" applyFont="1" applyFill="1" applyBorder="1" applyAlignment="1">
      <alignment wrapText="1" readingOrder="1"/>
    </xf>
    <xf numFmtId="0" fontId="2" fillId="2" borderId="5" xfId="0" applyFont="1" applyFill="1" applyBorder="1" applyAlignment="1">
      <alignment wrapText="1" readingOrder="1"/>
    </xf>
    <xf numFmtId="0" fontId="1" fillId="2" borderId="6" xfId="0" applyFont="1" applyFill="1" applyBorder="1" applyAlignment="1">
      <alignment wrapText="1" readingOrder="1"/>
    </xf>
    <xf numFmtId="164" fontId="1" fillId="2" borderId="6" xfId="0" applyNumberFormat="1" applyFont="1" applyFill="1" applyBorder="1" applyAlignment="1">
      <alignment wrapText="1" readingOrder="1"/>
    </xf>
    <xf numFmtId="0" fontId="1" fillId="2" borderId="4" xfId="0" applyFont="1" applyFill="1" applyBorder="1" applyAlignment="1">
      <alignment wrapText="1" readingOrder="1"/>
    </xf>
    <xf numFmtId="0" fontId="2" fillId="3" borderId="7" xfId="0" applyFont="1" applyFill="1" applyBorder="1" applyAlignment="1">
      <alignment wrapText="1" readingOrder="1"/>
    </xf>
    <xf numFmtId="0" fontId="2" fillId="3" borderId="8" xfId="0" applyFont="1" applyFill="1" applyBorder="1" applyAlignment="1">
      <alignment wrapText="1" readingOrder="1"/>
    </xf>
    <xf numFmtId="164" fontId="2" fillId="3" borderId="8" xfId="0" applyNumberFormat="1" applyFont="1" applyFill="1" applyBorder="1" applyAlignment="1">
      <alignment wrapText="1" readingOrder="1"/>
    </xf>
    <xf numFmtId="0" fontId="9" fillId="0" borderId="0" xfId="0" applyFont="1" applyBorder="1" applyAlignment="1">
      <alignment wrapText="1" readingOrder="1"/>
    </xf>
    <xf numFmtId="0" fontId="8" fillId="0" borderId="0" xfId="0" applyFont="1" applyBorder="1" applyAlignment="1">
      <alignment wrapText="1" readingOrder="1"/>
    </xf>
    <xf numFmtId="164" fontId="3" fillId="0" borderId="0" xfId="0" applyNumberFormat="1" applyFont="1" applyBorder="1" applyAlignment="1">
      <alignment wrapText="1" readingOrder="1"/>
    </xf>
    <xf numFmtId="0" fontId="0" fillId="4" borderId="0" xfId="0" applyFill="1"/>
    <xf numFmtId="0" fontId="0" fillId="5" borderId="0" xfId="0" applyFill="1"/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.00"/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4DD0E1"/>
        </patternFill>
      </fill>
      <alignment horizontal="general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639903"/>
        <c:axId val="1894640863"/>
      </c:barChart>
      <c:catAx>
        <c:axId val="1894639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40863"/>
        <c:crosses val="autoZero"/>
        <c:auto val="1"/>
        <c:lblAlgn val="ctr"/>
        <c:lblOffset val="100"/>
        <c:noMultiLvlLbl val="0"/>
      </c:catAx>
      <c:valAx>
        <c:axId val="189464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3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31</xdr:row>
      <xdr:rowOff>152400</xdr:rowOff>
    </xdr:from>
    <xdr:to>
      <xdr:col>8</xdr:col>
      <xdr:colOff>457200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4B20FB-8148-D49B-8248-0F676123B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5673A5-E3E4-4F83-B12C-3934B782806F}" name="Table3" displayName="Table3" ref="A1:I31" totalsRowShown="0" headerRowDxfId="10" tableBorderDxfId="9">
  <autoFilter ref="A1:I31" xr:uid="{CD5673A5-E3E4-4F83-B12C-3934B782806F}"/>
  <tableColumns count="9">
    <tableColumn id="1" xr3:uid="{F516BF73-FA04-4825-91E5-614D77F674C7}" name="Product Id" dataDxfId="8"/>
    <tableColumn id="2" xr3:uid="{DAC376E5-BF15-4A9A-9BF4-64C4FE296711}" name="Product Name"/>
    <tableColumn id="3" xr3:uid="{AAFC2328-9446-4BF3-8B66-838801764DEF}" name="Brand Name" dataDxfId="7"/>
    <tableColumn id="4" xr3:uid="{68B482FC-8151-4651-957D-60BFF87F12F5}" name="Price ($)" dataDxfId="6"/>
    <tableColumn id="5" xr3:uid="{A24E3746-DBAF-4F61-9A83-C00BDF8BC7F5}" name="Quantity" dataDxfId="5"/>
    <tableColumn id="6" xr3:uid="{FE737857-618D-4677-87A8-3FD583CC8771}" name="Category" dataDxfId="4"/>
    <tableColumn id="7" xr3:uid="{A8392348-B675-4DA3-95AA-3047F9DF65AE}" name="Manufacturing Date">
      <calculatedColumnFormula>TEXT(DATEVALUE(LEFT(A2,6)&amp;"-2025"),"m/d/yyyy")</calculatedColumnFormula>
    </tableColumn>
    <tableColumn id="8" xr3:uid="{4724BC12-8CB8-4C4E-8604-B0A9F22C948C}" name="coutry code">
      <calculatedColumnFormula>RIGHT(A2,2)</calculatedColumnFormula>
    </tableColumn>
    <tableColumn id="9" xr3:uid="{B3381C76-30E7-45CB-89C2-276CAF550A31}" name="Product Brand">
      <calculatedColumnFormula>C2&amp;" - "&amp;B2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8442-6E8B-D345-8ADD-017C91809768}">
  <dimension ref="A1:U57"/>
  <sheetViews>
    <sheetView tabSelected="1" zoomScaleNormal="60" zoomScaleSheetLayoutView="100" workbookViewId="0">
      <selection activeCell="K41" sqref="K41"/>
    </sheetView>
  </sheetViews>
  <sheetFormatPr defaultRowHeight="15" x14ac:dyDescent="0.2"/>
  <cols>
    <col min="1" max="1" width="11.97265625" customWidth="1"/>
    <col min="2" max="2" width="19.37109375" customWidth="1"/>
    <col min="3" max="3" width="16.94921875" customWidth="1"/>
    <col min="4" max="4" width="15.6015625" style="5" customWidth="1"/>
    <col min="5" max="5" width="10.35546875" customWidth="1"/>
    <col min="6" max="6" width="10.89453125" bestFit="1" customWidth="1"/>
    <col min="7" max="7" width="19.90625" customWidth="1"/>
    <col min="8" max="8" width="13.31640625" customWidth="1"/>
    <col min="9" max="9" width="21.5234375" customWidth="1"/>
  </cols>
  <sheetData>
    <row r="1" spans="1:21" ht="17.45" customHeight="1" x14ac:dyDescent="0.2">
      <c r="A1" s="20" t="s">
        <v>111</v>
      </c>
      <c r="B1" s="21" t="s">
        <v>0</v>
      </c>
      <c r="C1" s="21" t="s">
        <v>1</v>
      </c>
      <c r="D1" s="22" t="s">
        <v>2</v>
      </c>
      <c r="E1" s="21" t="s">
        <v>3</v>
      </c>
      <c r="F1" s="21" t="s">
        <v>4</v>
      </c>
      <c r="G1" s="8" t="s">
        <v>108</v>
      </c>
      <c r="H1" s="8" t="s">
        <v>109</v>
      </c>
      <c r="I1" s="23" t="s">
        <v>110</v>
      </c>
    </row>
    <row r="2" spans="1:21" x14ac:dyDescent="0.2">
      <c r="A2" s="6" t="s">
        <v>5</v>
      </c>
      <c r="B2" s="1" t="s">
        <v>6</v>
      </c>
      <c r="C2" s="1" t="s">
        <v>7</v>
      </c>
      <c r="D2" s="3">
        <v>1000</v>
      </c>
      <c r="E2" s="1">
        <v>30</v>
      </c>
      <c r="F2" s="1" t="s">
        <v>8</v>
      </c>
      <c r="G2" s="9" t="str">
        <f>TEXT(DATEVALUE(LEFT(A2,6)&amp;"-2025"),"m/d/yyyy")</f>
        <v>1/28/2025</v>
      </c>
      <c r="H2" s="9" t="str">
        <f>RIGHT(A2,2)</f>
        <v>US</v>
      </c>
      <c r="I2" s="9" t="str">
        <f>C2&amp;" - "&amp;B2</f>
        <v>Dell - laptop</v>
      </c>
    </row>
    <row r="3" spans="1:21" x14ac:dyDescent="0.2">
      <c r="A3" s="7" t="s">
        <v>9</v>
      </c>
      <c r="B3" s="2" t="s">
        <v>10</v>
      </c>
      <c r="C3" s="2" t="s">
        <v>11</v>
      </c>
      <c r="D3" s="4">
        <v>80</v>
      </c>
      <c r="E3" s="2">
        <v>15</v>
      </c>
      <c r="F3" s="2" t="s">
        <v>12</v>
      </c>
      <c r="G3" s="9" t="str">
        <f>TEXT(DATEVALUE(LEFT(A3,6)&amp;"-2025"),"m/d/yyyy")</f>
        <v>2/15/2025</v>
      </c>
      <c r="H3" s="9" t="str">
        <f>RIGHT(A3,2)</f>
        <v>US</v>
      </c>
      <c r="I3" s="9" t="str">
        <f>C3&amp;" - "&amp;B3</f>
        <v>Nike - Sneakers</v>
      </c>
    </row>
    <row r="4" spans="1:21" x14ac:dyDescent="0.2">
      <c r="A4" s="6" t="s">
        <v>13</v>
      </c>
      <c r="B4" s="1" t="s">
        <v>14</v>
      </c>
      <c r="C4" s="1" t="s">
        <v>15</v>
      </c>
      <c r="D4" s="3">
        <v>130</v>
      </c>
      <c r="E4" s="1">
        <v>40</v>
      </c>
      <c r="F4" s="1" t="s">
        <v>16</v>
      </c>
      <c r="G4" s="9" t="str">
        <f>TEXT(DATEVALUE(LEFT(A4,6)&amp;"-2025"),"m/d/yyyy")</f>
        <v>3/3/2025</v>
      </c>
      <c r="H4" s="9" t="str">
        <f>RIGHT(A4,2)</f>
        <v>US</v>
      </c>
      <c r="I4" s="9" t="str">
        <f>C4&amp;" - "&amp;B4</f>
        <v>Keurig - Coffee Maker</v>
      </c>
    </row>
    <row r="5" spans="1:21" x14ac:dyDescent="0.2">
      <c r="A5" s="7" t="s">
        <v>17</v>
      </c>
      <c r="B5" s="2" t="s">
        <v>70</v>
      </c>
      <c r="C5" s="2" t="s">
        <v>18</v>
      </c>
      <c r="D5" s="4">
        <v>900</v>
      </c>
      <c r="E5" s="2">
        <v>25</v>
      </c>
      <c r="F5" s="2" t="s">
        <v>8</v>
      </c>
      <c r="G5" s="9" t="str">
        <f>TEXT(DATEVALUE(LEFT(A5,6)&amp;"-2025"),"m/d/yyyy")</f>
        <v>4/11/2025</v>
      </c>
      <c r="H5" s="9" t="str">
        <f>RIGHT(A5,2)</f>
        <v>US</v>
      </c>
      <c r="I5" s="9" t="str">
        <f>C5&amp;" - "&amp;B5</f>
        <v>Samsung - Smartphone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19.899999999999999" customHeight="1" x14ac:dyDescent="0.2">
      <c r="A6" s="6" t="s">
        <v>19</v>
      </c>
      <c r="B6" s="1" t="s">
        <v>20</v>
      </c>
      <c r="C6" s="1" t="s">
        <v>21</v>
      </c>
      <c r="D6" s="3">
        <v>70</v>
      </c>
      <c r="E6" s="1">
        <v>20</v>
      </c>
      <c r="F6" s="1" t="s">
        <v>52</v>
      </c>
      <c r="G6" s="9" t="str">
        <f>TEXT(DATEVALUE(LEFT(A6,6)&amp;"-2025"),"m/d/yyyy")</f>
        <v>5/22/2025</v>
      </c>
      <c r="H6" s="9" t="str">
        <f>RIGHT(A6,2)</f>
        <v>US</v>
      </c>
      <c r="I6" s="9" t="str">
        <f>C6&amp;" - "&amp;B6</f>
        <v>North Face - Backpack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">
      <c r="A7" s="7" t="s">
        <v>22</v>
      </c>
      <c r="B7" s="2" t="s">
        <v>23</v>
      </c>
      <c r="C7" s="2" t="s">
        <v>24</v>
      </c>
      <c r="D7" s="4">
        <f>MEDIAN(D2:D6)</f>
        <v>130</v>
      </c>
      <c r="E7" s="2">
        <v>45</v>
      </c>
      <c r="F7" s="2" t="s">
        <v>8</v>
      </c>
      <c r="G7" s="9" t="str">
        <f>TEXT(DATEVALUE(LEFT(A7,6)&amp;"-2025"),"m/d/yyyy")</f>
        <v>6/7/2025</v>
      </c>
      <c r="H7" s="9" t="str">
        <f>RIGHT(A7,2)</f>
        <v>UK</v>
      </c>
      <c r="I7" s="9" t="str">
        <f>C7&amp;" - "&amp;B7</f>
        <v>Sony - Headphones</v>
      </c>
      <c r="J7" s="17" t="s">
        <v>90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">
      <c r="A8" s="6" t="s">
        <v>25</v>
      </c>
      <c r="B8" s="1" t="s">
        <v>26</v>
      </c>
      <c r="C8" s="1" t="s">
        <v>27</v>
      </c>
      <c r="D8" s="3">
        <v>30</v>
      </c>
      <c r="E8" s="1">
        <v>5</v>
      </c>
      <c r="F8" s="1" t="s">
        <v>12</v>
      </c>
      <c r="G8" s="9" t="str">
        <f>TEXT(DATEVALUE(LEFT(A8,6)&amp;"-2025"),"m/d/yyyy")</f>
        <v>7/19/2025</v>
      </c>
      <c r="H8" s="9" t="str">
        <f>RIGHT(A8,2)</f>
        <v>UK</v>
      </c>
      <c r="I8" s="9" t="str">
        <f>C8&amp;" - "&amp;B8</f>
        <v>Adidas - T-shirt</v>
      </c>
      <c r="J8" s="16"/>
      <c r="K8" s="18" t="s">
        <v>91</v>
      </c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">
      <c r="A9" s="7" t="s">
        <v>28</v>
      </c>
      <c r="B9" s="2" t="s">
        <v>29</v>
      </c>
      <c r="C9" s="2" t="s">
        <v>30</v>
      </c>
      <c r="D9" s="4">
        <v>90</v>
      </c>
      <c r="E9" s="2">
        <v>35</v>
      </c>
      <c r="F9" s="2" t="s">
        <v>16</v>
      </c>
      <c r="G9" s="9" t="str">
        <f>TEXT(DATEVALUE(LEFT(A9,6)&amp;"-2025"),"m/d/yyyy")</f>
        <v>8/23/2025</v>
      </c>
      <c r="H9" s="9" t="str">
        <f>RIGHT(A9,2)</f>
        <v>UK</v>
      </c>
      <c r="I9" s="9" t="str">
        <f>C9&amp;" - "&amp;B9</f>
        <v>Ninja - Blender</v>
      </c>
      <c r="J9" s="16"/>
      <c r="K9" s="18" t="s">
        <v>92</v>
      </c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">
      <c r="A10" s="6" t="s">
        <v>31</v>
      </c>
      <c r="B10" s="1" t="s">
        <v>32</v>
      </c>
      <c r="C10" s="1" t="s">
        <v>33</v>
      </c>
      <c r="D10" s="3">
        <v>500</v>
      </c>
      <c r="E10" s="1">
        <v>50</v>
      </c>
      <c r="F10" s="1" t="s">
        <v>8</v>
      </c>
      <c r="G10" s="9" t="str">
        <f>TEXT(DATEVALUE(LEFT(A10,6)&amp;"-2025"),"m/d/yyyy")</f>
        <v>9/5/2025</v>
      </c>
      <c r="H10" s="9" t="str">
        <f>RIGHT(A10,2)</f>
        <v>UK</v>
      </c>
      <c r="I10" s="9" t="str">
        <f>C10&amp;" - "&amp;B10</f>
        <v>Apple - Tablet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">
      <c r="A11" s="7" t="s">
        <v>34</v>
      </c>
      <c r="B11" s="2" t="s">
        <v>35</v>
      </c>
      <c r="C11" s="2" t="s">
        <v>36</v>
      </c>
      <c r="D11" s="4">
        <v>130</v>
      </c>
      <c r="E11" s="2">
        <v>10</v>
      </c>
      <c r="F11" s="2" t="s">
        <v>37</v>
      </c>
      <c r="G11" s="9" t="str">
        <f>TEXT(DATEVALUE(LEFT(A11,6)&amp;"-2025"),"m/d/yyyy")</f>
        <v>10/14/2025</v>
      </c>
      <c r="H11" s="9" t="str">
        <f>RIGHT(A11,2)</f>
        <v>UK</v>
      </c>
      <c r="I11" s="9" t="str">
        <f>C11&amp;" - "&amp;B11</f>
        <v>Timberland - Hiking Boots</v>
      </c>
      <c r="J11" s="17" t="s">
        <v>93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">
      <c r="A12" s="6" t="s">
        <v>38</v>
      </c>
      <c r="B12" s="1" t="s">
        <v>39</v>
      </c>
      <c r="C12" s="1" t="s">
        <v>40</v>
      </c>
      <c r="D12" s="3">
        <v>950</v>
      </c>
      <c r="E12" s="1">
        <v>25</v>
      </c>
      <c r="F12" s="1" t="s">
        <v>8</v>
      </c>
      <c r="G12" s="9" t="str">
        <f>TEXT(DATEVALUE(LEFT(A12,6)&amp;"-2025"),"m/d/yyyy")</f>
        <v>6/17/2025</v>
      </c>
      <c r="H12" s="9" t="str">
        <f>RIGHT(A12,2)</f>
        <v>IN</v>
      </c>
      <c r="I12" s="9" t="str">
        <f>C12&amp;" - "&amp;B12</f>
        <v>HP - Laptop</v>
      </c>
      <c r="J12" s="16"/>
      <c r="K12" s="18" t="s">
        <v>94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">
      <c r="A13" s="7" t="s">
        <v>41</v>
      </c>
      <c r="B13" s="2" t="s">
        <v>10</v>
      </c>
      <c r="C13" s="2" t="s">
        <v>27</v>
      </c>
      <c r="D13" s="4">
        <v>90</v>
      </c>
      <c r="E13" s="2">
        <v>40</v>
      </c>
      <c r="F13" s="2" t="s">
        <v>12</v>
      </c>
      <c r="G13" s="9" t="str">
        <f>TEXT(DATEVALUE(LEFT(A13,6)&amp;"-2025"),"m/d/yyyy")</f>
        <v>11/25/2025</v>
      </c>
      <c r="H13" s="9" t="str">
        <f>RIGHT(A13,2)</f>
        <v>AU</v>
      </c>
      <c r="I13" s="9" t="str">
        <f>C13&amp;" - "&amp;B13</f>
        <v>Adidas - Sneakers</v>
      </c>
      <c r="J13" s="16"/>
      <c r="K13" s="18" t="s">
        <v>95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">
      <c r="A14" s="6" t="s">
        <v>42</v>
      </c>
      <c r="B14" s="1" t="s">
        <v>14</v>
      </c>
      <c r="C14" s="1" t="s">
        <v>43</v>
      </c>
      <c r="D14" s="3">
        <v>120</v>
      </c>
      <c r="E14" s="1">
        <v>35</v>
      </c>
      <c r="F14" s="1" t="s">
        <v>16</v>
      </c>
      <c r="G14" s="9" t="str">
        <f>TEXT(DATEVALUE(LEFT(A14,6)&amp;"-2025"),"m/d/yyyy")</f>
        <v>12/8/2025</v>
      </c>
      <c r="H14" s="9" t="str">
        <f>RIGHT(A14,2)</f>
        <v>DE</v>
      </c>
      <c r="I14" s="9" t="str">
        <f>C14&amp;" - "&amp;B14</f>
        <v>Nespresso - Coffee Maker</v>
      </c>
      <c r="J14" s="16"/>
      <c r="K14" s="18" t="s">
        <v>96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">
      <c r="A15" s="7" t="s">
        <v>44</v>
      </c>
      <c r="B15" s="2" t="s">
        <v>45</v>
      </c>
      <c r="C15" s="2" t="s">
        <v>46</v>
      </c>
      <c r="D15" s="4">
        <v>150</v>
      </c>
      <c r="E15" s="2">
        <v>15</v>
      </c>
      <c r="F15" s="2" t="s">
        <v>8</v>
      </c>
      <c r="G15" s="9" t="str">
        <f>TEXT(DATEVALUE(LEFT(A15,6)&amp;"-2025"),"m/d/yyyy")</f>
        <v>2/18/2025</v>
      </c>
      <c r="H15" s="9" t="str">
        <f>RIGHT(A15,2)</f>
        <v>CA</v>
      </c>
      <c r="I15" s="9" t="str">
        <f>C15&amp;" - "&amp;B15</f>
        <v>Fitbit - Smartwatch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">
      <c r="A16" s="6" t="s">
        <v>47</v>
      </c>
      <c r="B16" s="1" t="s">
        <v>23</v>
      </c>
      <c r="C16" s="1" t="s">
        <v>48</v>
      </c>
      <c r="D16" s="3">
        <v>250</v>
      </c>
      <c r="E16" s="1">
        <v>20</v>
      </c>
      <c r="F16" s="2" t="s">
        <v>8</v>
      </c>
      <c r="G16" s="9" t="str">
        <f>TEXT(DATEVALUE(LEFT(A16,6)&amp;"-2025"),"m/d/yyyy")</f>
        <v>4/16/2025</v>
      </c>
      <c r="H16" s="9" t="str">
        <f>RIGHT(A16,2)</f>
        <v>ES</v>
      </c>
      <c r="I16" s="9" t="str">
        <f>C16&amp;" - "&amp;B16</f>
        <v>Bose - Headphones</v>
      </c>
      <c r="J16" s="17" t="s">
        <v>97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6.899999999999999" customHeight="1" x14ac:dyDescent="0.2">
      <c r="A17" s="7" t="s">
        <v>49</v>
      </c>
      <c r="B17" s="2" t="s">
        <v>50</v>
      </c>
      <c r="C17" s="2" t="s">
        <v>51</v>
      </c>
      <c r="D17" s="4">
        <v>50</v>
      </c>
      <c r="E17" s="2">
        <v>35</v>
      </c>
      <c r="F17" s="2" t="s">
        <v>52</v>
      </c>
      <c r="G17" s="9" t="str">
        <f>TEXT(DATEVALUE(LEFT(A17,6)&amp;"-2025"),"m/d/yyyy")</f>
        <v>8/21/2025</v>
      </c>
      <c r="H17" s="9" t="str">
        <f>RIGHT(A17,2)</f>
        <v>CA</v>
      </c>
      <c r="I17" s="9" t="str">
        <f>C17&amp;" - "&amp;B17</f>
        <v>Samsonite - Laptop Bag</v>
      </c>
      <c r="J17" s="16"/>
      <c r="K17" s="18" t="s">
        <v>98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">
      <c r="A18" s="6" t="s">
        <v>53</v>
      </c>
      <c r="B18" s="1" t="s">
        <v>45</v>
      </c>
      <c r="C18" s="1" t="s">
        <v>54</v>
      </c>
      <c r="D18" s="3">
        <v>160</v>
      </c>
      <c r="E18" s="1">
        <v>15</v>
      </c>
      <c r="F18" s="1" t="s">
        <v>8</v>
      </c>
      <c r="G18" s="9" t="str">
        <f>TEXT(DATEVALUE(LEFT(A18,6)&amp;"-2025"),"m/d/yyyy")</f>
        <v>8/20/2025</v>
      </c>
      <c r="H18" s="9" t="str">
        <f>RIGHT(A18,2)</f>
        <v>CN</v>
      </c>
      <c r="I18" s="9" t="str">
        <f>C18&amp;" - "&amp;B18</f>
        <v>Huawei - Smartwatch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">
      <c r="A19" s="7" t="s">
        <v>55</v>
      </c>
      <c r="B19" s="2" t="str">
        <f>PROPER(B2)</f>
        <v>Laptop</v>
      </c>
      <c r="C19" s="2" t="s">
        <v>56</v>
      </c>
      <c r="D19" s="4">
        <v>980</v>
      </c>
      <c r="E19" s="2">
        <v>10</v>
      </c>
      <c r="F19" s="2" t="s">
        <v>8</v>
      </c>
      <c r="G19" s="9" t="str">
        <f>TEXT(DATEVALUE(LEFT(A19,6)&amp;"-2025"),"m/d/yyyy")</f>
        <v>1/27/2025</v>
      </c>
      <c r="H19" s="9" t="str">
        <f>RIGHT(A19,2)</f>
        <v>IT</v>
      </c>
      <c r="I19" s="9" t="str">
        <f>C19&amp;" - "&amp;B19</f>
        <v>Asus - Laptop</v>
      </c>
      <c r="J19" s="17" t="s">
        <v>99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">
      <c r="A20" s="6" t="s">
        <v>57</v>
      </c>
      <c r="B20" s="1" t="s">
        <v>58</v>
      </c>
      <c r="C20" s="1" t="s">
        <v>59</v>
      </c>
      <c r="D20" s="3">
        <v>150</v>
      </c>
      <c r="E20" s="1">
        <v>15</v>
      </c>
      <c r="F20" s="1" t="s">
        <v>12</v>
      </c>
      <c r="G20" s="9" t="str">
        <f>TEXT(DATEVALUE(LEFT(A20,6)&amp;"-2025"),"m/d/yyyy")</f>
        <v>3/1/2025</v>
      </c>
      <c r="H20" s="9" t="str">
        <f>RIGHT(A20,2)</f>
        <v>UK</v>
      </c>
      <c r="I20" s="9" t="str">
        <f>C20&amp;" - "&amp;B20</f>
        <v>Oakley - Sunglasses</v>
      </c>
      <c r="J20" s="16"/>
      <c r="K20" s="18" t="s">
        <v>100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">
      <c r="A21" s="6" t="s">
        <v>60</v>
      </c>
      <c r="B21" s="1" t="s">
        <v>61</v>
      </c>
      <c r="C21" s="1" t="s">
        <v>62</v>
      </c>
      <c r="D21" s="3">
        <v>700</v>
      </c>
      <c r="E21" s="1">
        <v>50</v>
      </c>
      <c r="F21" s="1" t="s">
        <v>8</v>
      </c>
      <c r="G21" s="9" t="str">
        <f>TEXT(DATEVALUE(LEFT(A21,6)&amp;"-2025"),"m/d/yyyy")</f>
        <v>5/14/2025</v>
      </c>
      <c r="H21" s="9" t="str">
        <f>RIGHT(A21,2)</f>
        <v>RU</v>
      </c>
      <c r="I21" s="9" t="str">
        <f>C21&amp;" - "&amp;B21</f>
        <v>Nikon - Camera</v>
      </c>
      <c r="J21" s="16"/>
      <c r="K21" s="18" t="s">
        <v>101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">
      <c r="A22" s="7" t="s">
        <v>63</v>
      </c>
      <c r="B22" s="2" t="s">
        <v>64</v>
      </c>
      <c r="C22" s="2" t="s">
        <v>65</v>
      </c>
      <c r="D22" s="4">
        <v>80</v>
      </c>
      <c r="E22" s="2">
        <v>20</v>
      </c>
      <c r="F22" s="2" t="s">
        <v>16</v>
      </c>
      <c r="G22" s="9" t="str">
        <f>TEXT(DATEVALUE(LEFT(A22,6)&amp;"-2025"),"m/d/yyyy")</f>
        <v>1/9/2025</v>
      </c>
      <c r="H22" s="9" t="str">
        <f>RIGHT(A22,2)</f>
        <v>CA</v>
      </c>
      <c r="I22" s="9" t="str">
        <f>C22&amp;" - "&amp;B22</f>
        <v>Panasonic - Microwave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">
      <c r="A23" s="6" t="s">
        <v>66</v>
      </c>
      <c r="B23" s="1" t="s">
        <v>67</v>
      </c>
      <c r="C23" s="1" t="s">
        <v>68</v>
      </c>
      <c r="D23" s="3">
        <v>150</v>
      </c>
      <c r="E23" s="1">
        <v>30</v>
      </c>
      <c r="F23" s="1" t="s">
        <v>8</v>
      </c>
      <c r="G23" s="9" t="str">
        <f>TEXT(DATEVALUE(LEFT(A23,6)&amp;"-2025"),"m/d/yyyy")</f>
        <v>7/19/2025</v>
      </c>
      <c r="H23" s="9" t="str">
        <f>RIGHT(A23,2)</f>
        <v>BR</v>
      </c>
      <c r="I23" s="9" t="str">
        <f>C23&amp;" - "&amp;B23</f>
        <v>Xiaomi - Fitness Tracker</v>
      </c>
      <c r="J23" s="17" t="s">
        <v>102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14.45" customHeight="1" x14ac:dyDescent="0.2">
      <c r="A24" s="6" t="s">
        <v>69</v>
      </c>
      <c r="B24" s="1" t="s">
        <v>70</v>
      </c>
      <c r="C24" s="1" t="s">
        <v>71</v>
      </c>
      <c r="D24" s="3">
        <v>800</v>
      </c>
      <c r="E24" s="1">
        <v>45</v>
      </c>
      <c r="F24" s="1" t="s">
        <v>8</v>
      </c>
      <c r="G24" s="9" t="str">
        <f>TEXT(DATEVALUE(LEFT(A24,6)&amp;"-2025"),"m/d/yyyy")</f>
        <v>9/29/2025</v>
      </c>
      <c r="H24" s="9" t="str">
        <f>RIGHT(A24,2)</f>
        <v>CA</v>
      </c>
      <c r="I24" s="9" t="str">
        <f>C24&amp;" - "&amp;B24</f>
        <v>Google - Smartphone</v>
      </c>
      <c r="J24" s="16"/>
      <c r="K24" s="18" t="s">
        <v>103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">
      <c r="A25" s="7" t="s">
        <v>72</v>
      </c>
      <c r="B25" s="2" t="s">
        <v>58</v>
      </c>
      <c r="C25" s="2" t="s">
        <v>73</v>
      </c>
      <c r="D25" s="4">
        <v>130</v>
      </c>
      <c r="E25" s="2">
        <v>25</v>
      </c>
      <c r="F25" s="2" t="s">
        <v>12</v>
      </c>
      <c r="G25" s="9" t="str">
        <f>TEXT(DATEVALUE(LEFT(A25,6)&amp;"-2025"),"m/d/yyyy")</f>
        <v>6/3/2025</v>
      </c>
      <c r="H25" s="9" t="str">
        <f>RIGHT(A25,2)</f>
        <v>CA</v>
      </c>
      <c r="I25" s="9" t="str">
        <f>C25&amp;" - "&amp;B25</f>
        <v>Ray-Ban - Sunglasses</v>
      </c>
      <c r="J25" s="16"/>
      <c r="K25" s="18" t="s">
        <v>104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">
      <c r="A26" s="6" t="s">
        <v>74</v>
      </c>
      <c r="B26" s="1" t="s">
        <v>29</v>
      </c>
      <c r="C26" s="1" t="s">
        <v>75</v>
      </c>
      <c r="D26" s="3">
        <v>400</v>
      </c>
      <c r="E26" s="1">
        <v>40</v>
      </c>
      <c r="F26" s="1" t="s">
        <v>16</v>
      </c>
      <c r="G26" s="9" t="str">
        <f>TEXT(DATEVALUE(LEFT(A26,6)&amp;"-2025"),"m/d/yyyy")</f>
        <v>7/11/2025</v>
      </c>
      <c r="H26" s="9" t="str">
        <f>RIGHT(A26,2)</f>
        <v>CA</v>
      </c>
      <c r="I26" s="9" t="str">
        <f>C26&amp;" - "&amp;B26</f>
        <v>Vitamix - Blender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">
      <c r="A27" s="6" t="s">
        <v>76</v>
      </c>
      <c r="B27" s="1" t="s">
        <v>77</v>
      </c>
      <c r="C27" s="1" t="s">
        <v>78</v>
      </c>
      <c r="D27" s="3">
        <v>60</v>
      </c>
      <c r="E27" s="1">
        <v>30</v>
      </c>
      <c r="F27" s="1" t="s">
        <v>12</v>
      </c>
      <c r="G27" s="9" t="str">
        <f>TEXT(DATEVALUE(LEFT(A27,6)&amp;"-2025"),"m/d/yyyy")</f>
        <v>3/7/2025</v>
      </c>
      <c r="H27" s="9" t="str">
        <f>RIGHT(A27,2)</f>
        <v>CA</v>
      </c>
      <c r="I27" s="9" t="str">
        <f>C27&amp;" - "&amp;B27</f>
        <v>Zara - Dress</v>
      </c>
      <c r="J27" s="17" t="s">
        <v>105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">
      <c r="A28" s="7" t="s">
        <v>79</v>
      </c>
      <c r="B28" s="19" t="s">
        <v>80</v>
      </c>
      <c r="C28" s="2" t="s">
        <v>81</v>
      </c>
      <c r="D28" s="4">
        <v>40</v>
      </c>
      <c r="E28" s="2">
        <v>10</v>
      </c>
      <c r="F28" s="2" t="s">
        <v>16</v>
      </c>
      <c r="G28" s="9" t="str">
        <f>TEXT(DATEVALUE(LEFT(A28,6)&amp;"-2025"),"m/d/yyyy")</f>
        <v>4/13/2025</v>
      </c>
      <c r="H28" s="9" t="str">
        <f>RIGHT(A28,2)</f>
        <v>CA</v>
      </c>
      <c r="I28" s="9" t="str">
        <f>C28&amp;" - "&amp;B28</f>
        <v>Hamilton - Toaster</v>
      </c>
      <c r="J28" s="16"/>
      <c r="K28" s="18" t="s">
        <v>106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">
      <c r="A29" s="6" t="s">
        <v>82</v>
      </c>
      <c r="B29" s="1" t="s">
        <v>67</v>
      </c>
      <c r="C29" s="1" t="s">
        <v>83</v>
      </c>
      <c r="D29" s="3">
        <v>130</v>
      </c>
      <c r="E29" s="1">
        <v>5</v>
      </c>
      <c r="F29" s="1" t="s">
        <v>8</v>
      </c>
      <c r="G29" s="9" t="str">
        <f>TEXT(DATEVALUE(LEFT(A29,6)&amp;"-2025"),"m/d/yyyy")</f>
        <v>5/24/2025</v>
      </c>
      <c r="H29" s="9" t="str">
        <f>RIGHT(A29,2)</f>
        <v>CA</v>
      </c>
      <c r="I29" s="9" t="str">
        <f>C29&amp;" - "&amp;B29</f>
        <v>Garmin - Fitness Tracker</v>
      </c>
      <c r="J29" s="16"/>
      <c r="K29" s="18" t="s">
        <v>107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">
      <c r="A30" s="7" t="s">
        <v>84</v>
      </c>
      <c r="B30" s="2" t="s">
        <v>85</v>
      </c>
      <c r="C30" s="2" t="s">
        <v>86</v>
      </c>
      <c r="D30" s="4">
        <v>50</v>
      </c>
      <c r="E30" s="2">
        <v>50</v>
      </c>
      <c r="F30" s="2" t="s">
        <v>12</v>
      </c>
      <c r="G30" s="9" t="str">
        <f>TEXT(DATEVALUE(LEFT(A30,6)&amp;"-2025"),"m/d/yyyy")</f>
        <v>12/2/2025</v>
      </c>
      <c r="H30" s="9" t="str">
        <f>RIGHT(A30,2)</f>
        <v>CA</v>
      </c>
      <c r="I30" s="9" t="str">
        <f>C30&amp;" - "&amp;B30</f>
        <v>Levi's - Jeans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5.6" customHeight="1" x14ac:dyDescent="0.2">
      <c r="A31" s="24" t="s">
        <v>87</v>
      </c>
      <c r="B31" s="25" t="s">
        <v>88</v>
      </c>
      <c r="C31" s="25" t="s">
        <v>89</v>
      </c>
      <c r="D31" s="26">
        <v>100</v>
      </c>
      <c r="E31" s="25">
        <v>20</v>
      </c>
      <c r="F31" s="25" t="s">
        <v>52</v>
      </c>
      <c r="G31" s="9" t="str">
        <f>TEXT(DATEVALUE(LEFT(A31,6)&amp;"-2025"),"m/d/yyyy")</f>
        <v>7/9/2025</v>
      </c>
      <c r="H31" s="9" t="str">
        <f>RIGHT(A31,2)</f>
        <v>FR</v>
      </c>
      <c r="I31" s="9" t="str">
        <f>C31&amp;" - "&amp;B31</f>
        <v>Casio - Watch</v>
      </c>
    </row>
    <row r="32" spans="1:21" x14ac:dyDescent="0.2">
      <c r="D32"/>
    </row>
    <row r="33" spans="1:6" x14ac:dyDescent="0.2">
      <c r="D33"/>
    </row>
    <row r="34" spans="1:6" ht="17.45" customHeight="1" x14ac:dyDescent="0.2">
      <c r="D34"/>
    </row>
    <row r="35" spans="1:6" x14ac:dyDescent="0.2">
      <c r="B35" s="30" t="s">
        <v>112</v>
      </c>
      <c r="C35" s="31" t="s">
        <v>121</v>
      </c>
    </row>
    <row r="36" spans="1:6" x14ac:dyDescent="0.2">
      <c r="B36" t="s">
        <v>113</v>
      </c>
      <c r="C36">
        <f>COUNTA(Table3[[#All],[Brand Name]])</f>
        <v>31</v>
      </c>
    </row>
    <row r="37" spans="1:6" x14ac:dyDescent="0.2">
      <c r="B37" t="s">
        <v>114</v>
      </c>
      <c r="C37">
        <v>3</v>
      </c>
    </row>
    <row r="38" spans="1:6" ht="14.45" customHeight="1" x14ac:dyDescent="0.2">
      <c r="A38" s="9"/>
      <c r="B38" s="27" t="s">
        <v>115</v>
      </c>
      <c r="C38" s="10">
        <v>3</v>
      </c>
      <c r="D38" s="11"/>
      <c r="E38" s="9"/>
      <c r="F38" s="9"/>
    </row>
    <row r="39" spans="1:6" ht="13.9" customHeight="1" x14ac:dyDescent="0.2">
      <c r="A39" s="15"/>
      <c r="B39" s="10" t="s">
        <v>116</v>
      </c>
      <c r="C39" s="28">
        <v>4</v>
      </c>
      <c r="D39" s="11"/>
      <c r="E39" s="9"/>
      <c r="F39" s="9"/>
    </row>
    <row r="40" spans="1:6" ht="16.899999999999999" customHeight="1" x14ac:dyDescent="0.2">
      <c r="A40" s="9"/>
      <c r="B40" s="10" t="s">
        <v>118</v>
      </c>
      <c r="C40" s="11">
        <f>AVERAGE(Table3[Price ($)])</f>
        <v>286.66666666666669</v>
      </c>
      <c r="D40" s="13"/>
      <c r="E40" s="9"/>
      <c r="F40" s="9"/>
    </row>
    <row r="41" spans="1:6" x14ac:dyDescent="0.2">
      <c r="A41" s="9"/>
      <c r="B41" s="10" t="s">
        <v>117</v>
      </c>
      <c r="C41" s="10">
        <v>130</v>
      </c>
      <c r="D41" s="13"/>
      <c r="E41" s="9"/>
      <c r="F41" s="9"/>
    </row>
    <row r="42" spans="1:6" x14ac:dyDescent="0.2">
      <c r="A42" s="9"/>
      <c r="B42" s="10" t="s">
        <v>119</v>
      </c>
      <c r="C42" s="29">
        <f>MAX(D:D)</f>
        <v>1000</v>
      </c>
      <c r="D42" s="11"/>
      <c r="E42" s="9"/>
      <c r="F42" s="9"/>
    </row>
    <row r="43" spans="1:6" x14ac:dyDescent="0.2">
      <c r="A43" s="9"/>
      <c r="B43" s="10" t="s">
        <v>120</v>
      </c>
      <c r="C43" s="11">
        <f>MIN(D:D)</f>
        <v>30</v>
      </c>
      <c r="D43" s="13"/>
      <c r="E43" s="9"/>
      <c r="F43" s="9"/>
    </row>
    <row r="44" spans="1:6" x14ac:dyDescent="0.2">
      <c r="A44" s="9"/>
      <c r="B44" s="10"/>
      <c r="C44" s="10"/>
      <c r="D44" s="13"/>
      <c r="E44" s="9"/>
      <c r="F44" s="9"/>
    </row>
    <row r="45" spans="1:6" x14ac:dyDescent="0.2">
      <c r="A45" s="9"/>
      <c r="B45" s="10"/>
      <c r="C45" s="10"/>
      <c r="D45" s="13"/>
      <c r="E45" s="9"/>
      <c r="F45" s="9"/>
    </row>
    <row r="46" spans="1:6" x14ac:dyDescent="0.2">
      <c r="A46" s="9"/>
      <c r="B46" s="10"/>
      <c r="C46" s="12"/>
      <c r="D46" s="11"/>
      <c r="E46" s="9"/>
      <c r="F46" s="9"/>
    </row>
    <row r="47" spans="1:6" x14ac:dyDescent="0.2">
      <c r="A47" s="9"/>
      <c r="B47" s="10"/>
      <c r="C47" s="10"/>
      <c r="D47" s="13"/>
      <c r="E47" s="9"/>
      <c r="F47" s="9"/>
    </row>
    <row r="48" spans="1:6" x14ac:dyDescent="0.2">
      <c r="A48" s="9"/>
      <c r="B48" s="10"/>
      <c r="C48" s="12"/>
      <c r="D48" s="11"/>
      <c r="E48" s="9"/>
      <c r="F48" s="9"/>
    </row>
    <row r="49" spans="1:6" x14ac:dyDescent="0.2">
      <c r="A49" s="9"/>
      <c r="B49" s="10"/>
      <c r="C49" s="10"/>
      <c r="D49" s="13"/>
      <c r="E49" s="9"/>
      <c r="F49" s="9"/>
    </row>
    <row r="50" spans="1:6" x14ac:dyDescent="0.2">
      <c r="A50" s="9"/>
      <c r="B50" s="10"/>
      <c r="C50" s="10"/>
      <c r="D50" s="13"/>
      <c r="E50" s="9"/>
      <c r="F50" s="9"/>
    </row>
    <row r="51" spans="1:6" x14ac:dyDescent="0.2">
      <c r="A51" s="9"/>
      <c r="B51" s="10"/>
      <c r="C51" s="12"/>
      <c r="D51" s="11"/>
      <c r="E51" s="9"/>
      <c r="F51" s="9"/>
    </row>
    <row r="52" spans="1:6" x14ac:dyDescent="0.2">
      <c r="A52" s="9"/>
      <c r="B52" s="10"/>
      <c r="C52" s="10"/>
      <c r="D52" s="13"/>
      <c r="E52" s="9"/>
      <c r="F52" s="9"/>
    </row>
    <row r="53" spans="1:6" x14ac:dyDescent="0.2">
      <c r="A53" s="9"/>
      <c r="B53" s="10"/>
      <c r="C53" s="10"/>
      <c r="D53" s="13"/>
      <c r="E53" s="9"/>
      <c r="F53" s="9"/>
    </row>
    <row r="54" spans="1:6" x14ac:dyDescent="0.2">
      <c r="A54" s="9"/>
      <c r="B54" s="10"/>
      <c r="C54" s="12"/>
      <c r="D54" s="11"/>
      <c r="E54" s="9"/>
      <c r="F54" s="9"/>
    </row>
    <row r="55" spans="1:6" x14ac:dyDescent="0.2">
      <c r="A55" s="9"/>
      <c r="B55" s="10"/>
      <c r="C55" s="10"/>
      <c r="D55" s="13"/>
      <c r="E55" s="9"/>
      <c r="F55" s="9"/>
    </row>
    <row r="56" spans="1:6" x14ac:dyDescent="0.2">
      <c r="A56" s="9"/>
      <c r="B56" s="10"/>
      <c r="C56" s="10"/>
      <c r="D56" s="13"/>
      <c r="E56" s="9"/>
      <c r="F56" s="9"/>
    </row>
    <row r="57" spans="1:6" x14ac:dyDescent="0.2">
      <c r="A57" s="9"/>
      <c r="B57" s="9"/>
      <c r="C57" s="9"/>
      <c r="D57" s="14"/>
      <c r="E57" s="9"/>
      <c r="F57" s="9"/>
    </row>
  </sheetData>
  <conditionalFormatting sqref="A1:I1">
    <cfRule type="duplicateValues" dxfId="3" priority="1"/>
  </conditionalFormatting>
  <conditionalFormatting sqref="D1:D31 D35:D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31 F35:F1048576">
    <cfRule type="containsText" dxfId="2" priority="2" operator="containsText" text="el">
      <formula>NOT(ISERROR(SEARCH("el",F1)))</formula>
    </cfRule>
    <cfRule type="containsText" dxfId="1" priority="3" operator="containsText" text="el$F$5">
      <formula>NOT(ISERROR(SEARCH("el$F$5",F1)))</formula>
    </cfRule>
    <cfRule type="containsText" dxfId="0" priority="4" operator="containsText" text="eletronics">
      <formula>NOT(ISERROR(SEARCH("eletronics",F1)))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Reddy</dc:creator>
  <cp:lastModifiedBy>Bharath Reddy</cp:lastModifiedBy>
  <dcterms:created xsi:type="dcterms:W3CDTF">2026-05-21T14:11:22Z</dcterms:created>
  <dcterms:modified xsi:type="dcterms:W3CDTF">2026-05-24T13:02:53Z</dcterms:modified>
</cp:coreProperties>
</file>